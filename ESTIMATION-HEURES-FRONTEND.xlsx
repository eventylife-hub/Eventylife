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 Front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B2A4A"/>
      <sz val="11"/>
    </font>
    <font>
      <name val="Arial"/>
      <sz val="10"/>
    </font>
    <font>
      <name val="Arial"/>
      <color rgb="00555555"/>
      <sz val="9"/>
    </font>
    <font>
      <name val="Arial"/>
      <b val="1"/>
      <sz val="10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3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D5E8D4"/>
      </patternFill>
    </fill>
    <fill>
      <patternFill patternType="solid">
        <fgColor rgb="00F39C1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7" borderId="2" pivotButton="0" quotePrefix="0" xfId="0"/>
    <xf numFmtId="0" fontId="7" fillId="7" borderId="2" applyAlignment="1" pivotButton="0" quotePrefix="0" xfId="0">
      <alignment horizontal="center"/>
    </xf>
    <xf numFmtId="0" fontId="3" fillId="8" borderId="2" pivotButton="0" quotePrefix="0" xfId="0"/>
    <xf numFmtId="0" fontId="0" fillId="8" borderId="2" pivotButton="0" quotePrefix="0" xfId="0"/>
    <xf numFmtId="0" fontId="3" fillId="8" borderId="2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5" fillId="4" borderId="0" pivotButton="0" quotePrefix="0" xfId="0"/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EVENTY — Estimation Heures Codage Frontend (Claude IA, sans pause)</t>
        </is>
      </c>
    </row>
    <row r="2">
      <c r="A2" s="2" t="inlineStr">
        <is>
          <t>Base : Draw.io v53 (1 798 diagrammes) vs Site existant (135 pages) — 18 mars 2026</t>
        </is>
      </c>
    </row>
    <row r="4" ht="28" customHeight="1">
      <c r="A4" s="3" t="inlineStr">
        <is>
          <t>Élément</t>
        </is>
      </c>
      <c r="B4" s="3" t="inlineStr">
        <is>
          <t>Priorité</t>
        </is>
      </c>
      <c r="C4" s="3" t="inlineStr">
        <is>
          <t>Heures</t>
        </is>
      </c>
      <c r="D4" s="3" t="inlineStr">
        <is>
          <t>Heures cumulées</t>
        </is>
      </c>
      <c r="E4" s="3" t="inlineStr">
        <is>
          <t>Notes</t>
        </is>
      </c>
    </row>
    <row r="6" ht="26" customHeight="1">
      <c r="A6" s="4" t="inlineStr">
        <is>
          <t>📄 PAGES UI MANQUANTES (~20 pages)</t>
        </is>
      </c>
      <c r="B6" s="5" t="n"/>
      <c r="C6" s="5" t="n"/>
      <c r="D6" s="5" t="n"/>
      <c r="E6" s="5" t="n"/>
    </row>
    <row r="7">
      <c r="A7" s="6" t="inlineStr">
        <is>
          <t>Admin — Validation Pro</t>
        </is>
      </c>
      <c r="B7" s="7" t="inlineStr">
        <is>
          <t>P0</t>
        </is>
      </c>
      <c r="C7" s="8" t="n">
        <v>5</v>
      </c>
      <c r="D7" s="9" t="n"/>
      <c r="E7" s="10" t="inlineStr">
        <is>
          <t>CRUD + workflow validation SIRET/docs</t>
        </is>
      </c>
    </row>
    <row r="8">
      <c r="A8" s="6" t="inlineStr">
        <is>
          <t>Admin — Équipes</t>
        </is>
      </c>
      <c r="B8" s="11" t="inlineStr">
        <is>
          <t>P1</t>
        </is>
      </c>
      <c r="C8" s="8" t="n">
        <v>4</v>
      </c>
      <c r="D8" s="9" t="n"/>
      <c r="E8" s="10" t="inlineStr">
        <is>
          <t>Gestion équipes + attribution rôles</t>
        </is>
      </c>
    </row>
    <row r="9">
      <c r="A9" s="6" t="inlineStr">
        <is>
          <t>Admin — Fournisseurs</t>
        </is>
      </c>
      <c r="B9" s="11" t="inlineStr">
        <is>
          <t>P1</t>
        </is>
      </c>
      <c r="C9" s="8" t="n">
        <v>6</v>
      </c>
      <c r="D9" s="9" t="n"/>
      <c r="E9" s="10" t="inlineStr">
        <is>
          <t>CRUD complet + contrats/devis/paiements</t>
        </is>
      </c>
    </row>
    <row r="10">
      <c r="A10" s="6" t="inlineStr">
        <is>
          <t>Admin — Finance avancé</t>
        </is>
      </c>
      <c r="B10" s="7" t="inlineStr">
        <is>
          <t>P0</t>
        </is>
      </c>
      <c r="C10" s="8" t="n">
        <v>10</v>
      </c>
      <c r="D10" s="9" t="n"/>
      <c r="E10" s="10" t="inlineStr">
        <is>
          <t>PayoutBatch, LedgerInspector, TVA marge, exports</t>
        </is>
      </c>
    </row>
    <row r="11">
      <c r="A11" s="6" t="inlineStr">
        <is>
          <t>Admin — Restauration</t>
        </is>
      </c>
      <c r="B11" s="11" t="inlineStr">
        <is>
          <t>P1</t>
        </is>
      </c>
      <c r="C11" s="8" t="n">
        <v>5</v>
      </c>
      <c r="D11" s="9" t="n"/>
      <c r="E11" s="10" t="inlineStr">
        <is>
          <t>Déclarations, paiements, paramètres</t>
        </is>
      </c>
    </row>
    <row r="12">
      <c r="A12" s="6" t="inlineStr">
        <is>
          <t>Admin — Intégrations</t>
        </is>
      </c>
      <c r="B12" s="12" t="inlineStr">
        <is>
          <t>P2</t>
        </is>
      </c>
      <c r="C12" s="8" t="n">
        <v>4</v>
      </c>
      <c r="D12" s="9" t="n"/>
      <c r="E12" s="10" t="inlineStr">
        <is>
          <t>Page intégrations API</t>
        </is>
      </c>
    </row>
    <row r="13">
      <c r="A13" s="6" t="inlineStr">
        <is>
          <t>Admin — Feature Flags</t>
        </is>
      </c>
      <c r="B13" s="11" t="inlineStr">
        <is>
          <t>P1</t>
        </is>
      </c>
      <c r="C13" s="8" t="n">
        <v>6</v>
      </c>
      <c r="D13" s="9" t="n"/>
      <c r="E13" s="10" t="inlineStr">
        <is>
          <t>Presets, 4-eyes, break-glass, dry-run</t>
        </is>
      </c>
    </row>
    <row r="14">
      <c r="A14" s="6" t="inlineStr">
        <is>
          <t>Admin — Leads Marketing</t>
        </is>
      </c>
      <c r="B14" s="11" t="inlineStr">
        <is>
          <t>P1</t>
        </is>
      </c>
      <c r="C14" s="8" t="n">
        <v>4</v>
      </c>
      <c r="D14" s="9" t="n"/>
      <c r="E14" s="10" t="inlineStr">
        <is>
          <t>Leads, export, inbox unifiée</t>
        </is>
      </c>
    </row>
    <row r="15">
      <c r="A15" s="6" t="inlineStr">
        <is>
          <t>Admin — HRA Hub</t>
        </is>
      </c>
      <c r="B15" s="11" t="inlineStr">
        <is>
          <t>P1</t>
        </is>
      </c>
      <c r="C15" s="8" t="n">
        <v>6</v>
      </c>
      <c r="D15" s="9" t="n"/>
      <c r="E15" s="10" t="inlineStr">
        <is>
          <t>Hub Hébergement-Resto-Activités</t>
        </is>
      </c>
    </row>
    <row r="16">
      <c r="A16" s="6" t="inlineStr">
        <is>
          <t>Admin — Communications</t>
        </is>
      </c>
      <c r="B16" s="11" t="inlineStr">
        <is>
          <t>P1</t>
        </is>
      </c>
      <c r="C16" s="8" t="n">
        <v>5</v>
      </c>
      <c r="D16" s="9" t="n"/>
      <c r="E16" s="10" t="inlineStr">
        <is>
          <t>Templates, inbox, SLA, escalade</t>
        </is>
      </c>
    </row>
    <row r="17">
      <c r="A17" s="6" t="inlineStr">
        <is>
          <t>Admin — Planning 18M</t>
        </is>
      </c>
      <c r="B17" s="12" t="inlineStr">
        <is>
          <t>P2</t>
        </is>
      </c>
      <c r="C17" s="8" t="n">
        <v>6</v>
      </c>
      <c r="D17" s="9" t="n"/>
      <c r="E17" s="10" t="inlineStr">
        <is>
          <t>Planning multi-services, agenda transport</t>
        </is>
      </c>
    </row>
    <row r="18">
      <c r="A18" s="6" t="inlineStr">
        <is>
          <t>Pro — Paiements</t>
        </is>
      </c>
      <c r="B18" s="7" t="inlineStr">
        <is>
          <t>P0</t>
        </is>
      </c>
      <c r="C18" s="8" t="n">
        <v>5</v>
      </c>
      <c r="D18" s="9" t="n"/>
      <c r="E18" s="10" t="inlineStr">
        <is>
          <t>Page paiements dédiée Pro</t>
        </is>
      </c>
    </row>
    <row r="19">
      <c r="A19" s="6" t="inlineStr">
        <is>
          <t>Pro — Notifications</t>
        </is>
      </c>
      <c r="B19" s="7" t="inlineStr">
        <is>
          <t>P0</t>
        </is>
      </c>
      <c r="C19" s="8" t="n">
        <v>4</v>
      </c>
      <c r="D19" s="9" t="n"/>
      <c r="E19" s="10" t="inlineStr">
        <is>
          <t>Centre notifications Pro</t>
        </is>
      </c>
    </row>
    <row r="20">
      <c r="A20" s="6" t="inlineStr">
        <is>
          <t>Pro — Magasin</t>
        </is>
      </c>
      <c r="B20" s="11" t="inlineStr">
        <is>
          <t>P1</t>
        </is>
      </c>
      <c r="C20" s="8" t="n">
        <v>8</v>
      </c>
      <c r="D20" s="9" t="n"/>
      <c r="E20" s="10" t="inlineStr">
        <is>
          <t>Dashboard, profil point de vente, QR, commissions</t>
        </is>
      </c>
    </row>
    <row r="21">
      <c r="A21" s="6" t="inlineStr">
        <is>
          <t>Pro — Annuaire</t>
        </is>
      </c>
      <c r="B21" s="11" t="inlineStr">
        <is>
          <t>P1</t>
        </is>
      </c>
      <c r="C21" s="8" t="n">
        <v>5</v>
      </c>
      <c r="D21" s="9" t="n"/>
      <c r="E21" s="10" t="inlineStr">
        <is>
          <t>Annuaire indépendants, follow, invitations</t>
        </is>
      </c>
    </row>
    <row r="22">
      <c r="A22" s="6" t="inlineStr">
        <is>
          <t>Pro — Association CE/Asso</t>
        </is>
      </c>
      <c r="B22" s="12" t="inlineStr">
        <is>
          <t>P2</t>
        </is>
      </c>
      <c r="C22" s="8" t="n">
        <v>6</v>
      </c>
      <c r="D22" s="9" t="n"/>
      <c r="E22" s="10" t="inlineStr">
        <is>
          <t>Hub CE/Association, déductions, URSSAF</t>
        </is>
      </c>
    </row>
    <row r="23">
      <c r="A23" s="6" t="inlineStr">
        <is>
          <t>Pro — Wallet / Jetons</t>
        </is>
      </c>
      <c r="B23" s="11" t="inlineStr">
        <is>
          <t>P1</t>
        </is>
      </c>
      <c r="C23" s="8" t="n">
        <v>6</v>
      </c>
      <c r="D23" s="9" t="n"/>
      <c r="E23" s="10" t="inlineStr">
        <is>
          <t>Wallet multi-tier, tokens, cotisations</t>
        </is>
      </c>
    </row>
    <row r="24">
      <c r="A24" s="6" t="inlineStr">
        <is>
          <t>Pro — Leads Inbox</t>
        </is>
      </c>
      <c r="B24" s="11" t="inlineStr">
        <is>
          <t>P1</t>
        </is>
      </c>
      <c r="C24" s="8" t="n">
        <v>4</v>
      </c>
      <c r="D24" s="9" t="n"/>
      <c r="E24" s="10" t="inlineStr">
        <is>
          <t>Inbox leads avec badges, batch</t>
        </is>
      </c>
    </row>
    <row r="25">
      <c r="A25" s="6" t="inlineStr">
        <is>
          <t>Client — Favoris</t>
        </is>
      </c>
      <c r="B25" s="11" t="inlineStr">
        <is>
          <t>P1</t>
        </is>
      </c>
      <c r="C25" s="8" t="n">
        <v>3</v>
      </c>
      <c r="D25" s="9" t="n"/>
      <c r="E25" s="10" t="inlineStr">
        <is>
          <t>Wishlist voyages</t>
        </is>
      </c>
    </row>
    <row r="26">
      <c r="A26" s="6" t="inlineStr">
        <is>
          <t>Client — Credit Wallet avancé</t>
        </is>
      </c>
      <c r="B26" s="11" t="inlineStr">
        <is>
          <t>P1</t>
        </is>
      </c>
      <c r="C26" s="8" t="n">
        <v>5</v>
      </c>
      <c r="D26" s="9" t="n"/>
      <c r="E26" s="10" t="inlineStr">
        <is>
          <t>Crédits/avoirs avancés (draw.io 237-251)</t>
        </is>
      </c>
    </row>
    <row r="27">
      <c r="A27" s="6" t="inlineStr">
        <is>
          <t>Client — Préférences notifs</t>
        </is>
      </c>
      <c r="B27" s="11" t="inlineStr">
        <is>
          <t>P1</t>
        </is>
      </c>
      <c r="C27" s="8" t="n">
        <v>3</v>
      </c>
      <c r="D27" s="9" t="n"/>
      <c r="E27" s="10" t="inlineStr">
        <is>
          <t>Centre préférences notifications</t>
        </is>
      </c>
    </row>
    <row r="28">
      <c r="A28" s="6" t="inlineStr">
        <is>
          <t>Client — Urgence/Assistance</t>
        </is>
      </c>
      <c r="B28" s="11" t="inlineStr">
        <is>
          <t>P1</t>
        </is>
      </c>
      <c r="C28" s="8" t="n">
        <v>3</v>
      </c>
      <c r="D28" s="9" t="n"/>
      <c r="E28" s="10" t="inlineStr">
        <is>
          <t>Page urgence avec reassurance</t>
        </is>
      </c>
    </row>
    <row r="29">
      <c r="A29" s="6" t="inlineStr">
        <is>
          <t>Client — Marketing Preferences</t>
        </is>
      </c>
      <c r="B29" s="11" t="inlineStr">
        <is>
          <t>P1</t>
        </is>
      </c>
      <c r="C29" s="8" t="n">
        <v>3</v>
      </c>
      <c r="D29" s="9" t="n"/>
      <c r="E29" s="10" t="inlineStr">
        <is>
          <t>Préférences marketing, DNC</t>
        </is>
      </c>
    </row>
    <row r="30">
      <c r="A30" s="6" t="inlineStr">
        <is>
          <t>Client — Pourboire/Merci</t>
        </is>
      </c>
      <c r="B30" s="12" t="inlineStr">
        <is>
          <t>P2</t>
        </is>
      </c>
      <c r="C30" s="8" t="n">
        <v>3</v>
      </c>
      <c r="D30" s="9" t="n"/>
      <c r="E30" s="10" t="inlineStr">
        <is>
          <t>Tip post-voyage</t>
        </is>
      </c>
    </row>
    <row r="31">
      <c r="A31" s="13" t="inlineStr">
        <is>
          <t>↳ Sous-total pages manquantes</t>
        </is>
      </c>
      <c r="B31" s="13" t="n"/>
      <c r="C31" s="14" t="n">
        <v>134</v>
      </c>
      <c r="D31" s="14" t="n">
        <v>134</v>
      </c>
      <c r="E31" s="13" t="n"/>
    </row>
    <row r="32" ht="26" customHeight="1">
      <c r="A32" s="4" t="inlineStr">
        <is>
          <t>⚙️ FEATURES P0 — Backend + Frontend intégré</t>
        </is>
      </c>
      <c r="B32" s="5" t="n"/>
      <c r="C32" s="5" t="n"/>
      <c r="D32" s="5" t="n"/>
      <c r="E32" s="5" t="n"/>
    </row>
    <row r="33">
      <c r="A33" s="6" t="inlineStr">
        <is>
          <t>TVA marge + Compta + Exports</t>
        </is>
      </c>
      <c r="B33" s="7" t="inlineStr">
        <is>
          <t>P0</t>
        </is>
      </c>
      <c r="C33" s="8" t="n">
        <v>18</v>
      </c>
      <c r="D33" s="9" t="n"/>
      <c r="E33" s="10" t="inlineStr">
        <is>
          <t>UI calcul TVA marge, exports comptables, dashboard</t>
        </is>
      </c>
    </row>
    <row r="34">
      <c r="A34" s="6" t="inlineStr">
        <is>
          <t>PayoutBatch (paiements Pro)</t>
        </is>
      </c>
      <c r="B34" s="7" t="inlineStr">
        <is>
          <t>P0</t>
        </is>
      </c>
      <c r="C34" s="8" t="n">
        <v>14</v>
      </c>
      <c r="D34" s="9" t="n"/>
      <c r="E34" s="10" t="inlineStr">
        <is>
          <t>Interface batch paiements, statuts, relancés</t>
        </is>
      </c>
    </row>
    <row r="35">
      <c r="A35" s="6" t="inlineStr">
        <is>
          <t>Transport complet (bus+avion)</t>
        </is>
      </c>
      <c r="B35" s="7" t="inlineStr">
        <is>
          <t>P0</t>
        </is>
      </c>
      <c r="C35" s="8" t="n">
        <v>35</v>
      </c>
      <c r="D35" s="9" t="n"/>
      <c r="E35" s="10" t="inlineStr">
        <is>
          <t>Allotement, manifest, planning, pricing transport</t>
        </is>
      </c>
    </row>
    <row r="36">
      <c r="A36" s="6" t="inlineStr">
        <is>
          <t>Manifest + Exports transport</t>
        </is>
      </c>
      <c r="B36" s="7" t="inlineStr">
        <is>
          <t>P0</t>
        </is>
      </c>
      <c r="C36" s="8" t="n">
        <v>8</v>
      </c>
      <c r="D36" s="9" t="n"/>
      <c r="E36" s="10" t="inlineStr">
        <is>
          <t>Génération manifest, exports PDF/CSV</t>
        </is>
      </c>
    </row>
    <row r="37">
      <c r="A37" s="6" t="inlineStr">
        <is>
          <t>Booking lifecycle complet</t>
        </is>
      </c>
      <c r="B37" s="7" t="inlineStr">
        <is>
          <t>P0</t>
        </is>
      </c>
      <c r="C37" s="8" t="n">
        <v>25</v>
      </c>
      <c r="D37" s="9" t="n"/>
      <c r="E37" s="10" t="inlineStr">
        <is>
          <t>Résa→annulation→remboursement, états, timeline</t>
        </is>
      </c>
    </row>
    <row r="38">
      <c r="A38" s="6" t="inlineStr">
        <is>
          <t>Rooming complet</t>
        </is>
      </c>
      <c r="B38" s="7" t="inlineStr">
        <is>
          <t>P0</t>
        </is>
      </c>
      <c r="C38" s="8" t="n">
        <v>20</v>
      </c>
      <c r="D38" s="9" t="n"/>
      <c r="E38" s="10" t="inlineStr">
        <is>
          <t>Chambres, règles, calcul pricing, affectation</t>
        </is>
      </c>
    </row>
    <row r="39">
      <c r="A39" s="6" t="inlineStr">
        <is>
          <t>Notifications système</t>
        </is>
      </c>
      <c r="B39" s="7" t="inlineStr">
        <is>
          <t>P0</t>
        </is>
      </c>
      <c r="C39" s="8" t="n">
        <v>16</v>
      </c>
      <c r="D39" s="9" t="n"/>
      <c r="E39" s="10" t="inlineStr">
        <is>
          <t>Templates, canaux, préférences, centre notifs</t>
        </is>
      </c>
    </row>
    <row r="40">
      <c r="A40" s="6" t="inlineStr">
        <is>
          <t>Documents système</t>
        </is>
      </c>
      <c r="B40" s="7" t="inlineStr">
        <is>
          <t>P0</t>
        </is>
      </c>
      <c r="C40" s="8" t="n">
        <v>12</v>
      </c>
      <c r="D40" s="9" t="n"/>
      <c r="E40" s="10" t="inlineStr">
        <is>
          <t>PDF, signatures, rétention, RGPD</t>
        </is>
      </c>
    </row>
    <row r="41">
      <c r="A41" s="6" t="inlineStr">
        <is>
          <t>RBAC complet</t>
        </is>
      </c>
      <c r="B41" s="7" t="inlineStr">
        <is>
          <t>P0</t>
        </is>
      </c>
      <c r="C41" s="8" t="n">
        <v>20</v>
      </c>
      <c r="D41" s="9" t="n"/>
      <c r="E41" s="10" t="inlineStr">
        <is>
          <t>Matrice 3 niveaux, capabilities, guard frontend</t>
        </is>
      </c>
    </row>
    <row r="42">
      <c r="A42" s="6" t="inlineStr">
        <is>
          <t>RGPD complet</t>
        </is>
      </c>
      <c r="B42" s="7" t="inlineStr">
        <is>
          <t>P0</t>
        </is>
      </c>
      <c r="C42" s="8" t="n">
        <v>16</v>
      </c>
      <c r="D42" s="9" t="n"/>
      <c r="E42" s="10" t="inlineStr">
        <is>
          <t>DSAR, rétention, CMP, consentements</t>
        </is>
      </c>
    </row>
    <row r="43">
      <c r="A43" s="6" t="inlineStr">
        <is>
          <t>Compliance EU/FR</t>
        </is>
      </c>
      <c r="B43" s="7" t="inlineStr">
        <is>
          <t>P0</t>
        </is>
      </c>
      <c r="C43" s="8" t="n">
        <v>10</v>
      </c>
      <c r="D43" s="9" t="n"/>
      <c r="E43" s="10" t="inlineStr">
        <is>
          <t>77 points conformité, checklist UI</t>
        </is>
      </c>
    </row>
    <row r="44">
      <c r="A44" s="6" t="inlineStr">
        <is>
          <t>Sécurité baseline</t>
        </is>
      </c>
      <c r="B44" s="7" t="inlineStr">
        <is>
          <t>P0</t>
        </is>
      </c>
      <c r="C44" s="8" t="n">
        <v>12</v>
      </c>
      <c r="D44" s="9" t="n"/>
      <c r="E44" s="10" t="inlineStr">
        <is>
          <t>2FA UI, IP allowlist admin, CSP headers</t>
        </is>
      </c>
    </row>
    <row r="45">
      <c r="A45" s="6" t="inlineStr">
        <is>
          <t>Pro Onboarding 5 types</t>
        </is>
      </c>
      <c r="B45" s="7" t="inlineStr">
        <is>
          <t>P0</t>
        </is>
      </c>
      <c r="C45" s="8" t="n">
        <v>18</v>
      </c>
      <c r="D45" s="9" t="n"/>
      <c r="E45" s="10" t="inlineStr">
        <is>
          <t>Wizard multi-étapes, validation, documents</t>
        </is>
      </c>
    </row>
    <row r="46">
      <c r="A46" s="6" t="inlineStr">
        <is>
          <t>Pricing engine complet</t>
        </is>
      </c>
      <c r="B46" s="7" t="inlineStr">
        <is>
          <t>P0</t>
        </is>
      </c>
      <c r="C46" s="8" t="n">
        <v>20</v>
      </c>
      <c r="D46" s="9" t="n"/>
      <c r="E46" s="10" t="inlineStr">
        <is>
          <t>Estimation, lock, validation, preview</t>
        </is>
      </c>
    </row>
    <row r="47">
      <c r="A47" s="6" t="inlineStr">
        <is>
          <t>Création Voyage Phase 1+2</t>
        </is>
      </c>
      <c r="B47" s="7" t="inlineStr">
        <is>
          <t>P0</t>
        </is>
      </c>
      <c r="C47" s="8" t="n">
        <v>25</v>
      </c>
      <c r="D47" s="9" t="n"/>
      <c r="E47" s="10" t="inlineStr">
        <is>
          <t>Wizard création complet, 2 phases, previews</t>
        </is>
      </c>
    </row>
    <row r="48">
      <c r="A48" s="13" t="inlineStr">
        <is>
          <t>↳ Sous-total features P0</t>
        </is>
      </c>
      <c r="B48" s="13" t="n"/>
      <c r="C48" s="14" t="n">
        <v>269</v>
      </c>
      <c r="D48" s="14" t="n">
        <v>403</v>
      </c>
      <c r="E48" s="13" t="n"/>
    </row>
    <row r="49" ht="26" customHeight="1">
      <c r="A49" s="4" t="inlineStr">
        <is>
          <t>⚙️ FEATURES P1</t>
        </is>
      </c>
      <c r="B49" s="5" t="n"/>
      <c r="C49" s="5" t="n"/>
      <c r="D49" s="5" t="n"/>
      <c r="E49" s="5" t="n"/>
    </row>
    <row r="50">
      <c r="A50" s="6" t="inlineStr">
        <is>
          <t>Cotisations Indés + Marketing Fund</t>
        </is>
      </c>
      <c r="B50" s="11" t="inlineStr">
        <is>
          <t>P1</t>
        </is>
      </c>
      <c r="C50" s="8" t="n">
        <v>10</v>
      </c>
      <c r="D50" s="9" t="n"/>
      <c r="E50" s="10" t="inlineStr">
        <is>
          <t>UI cotisations, dashboard, historique</t>
        </is>
      </c>
    </row>
    <row r="51">
      <c r="A51" s="6" t="inlineStr">
        <is>
          <t>Credit Wallet + Avoirs</t>
        </is>
      </c>
      <c r="B51" s="11" t="inlineStr">
        <is>
          <t>P1</t>
        </is>
      </c>
      <c r="C51" s="8" t="n">
        <v>12</v>
      </c>
      <c r="D51" s="9" t="n"/>
      <c r="E51" s="10" t="inlineStr">
        <is>
          <t>Wallet client, avoirs, transactions</t>
        </is>
      </c>
    </row>
    <row r="52">
      <c r="A52" s="6" t="inlineStr">
        <is>
          <t>Fill Optimizer + Capacity Booster</t>
        </is>
      </c>
      <c r="B52" s="11" t="inlineStr">
        <is>
          <t>P1</t>
        </is>
      </c>
      <c r="C52" s="8" t="n">
        <v>8</v>
      </c>
      <c r="D52" s="9" t="n"/>
      <c r="E52" s="10" t="inlineStr">
        <is>
          <t>UI optimisation remplissage bus</t>
        </is>
      </c>
    </row>
    <row r="53">
      <c r="A53" s="6" t="inlineStr">
        <is>
          <t>NoGo + Waitlist + Hold 24h</t>
        </is>
      </c>
      <c r="B53" s="11" t="inlineStr">
        <is>
          <t>P1</t>
        </is>
      </c>
      <c r="C53" s="8" t="n">
        <v>12</v>
      </c>
      <c r="D53" s="9" t="n"/>
      <c r="E53" s="10" t="inlineStr">
        <is>
          <t>UI états résa, waitlist, hold temporaire</t>
        </is>
      </c>
    </row>
    <row r="54">
      <c r="A54" s="6" t="inlineStr">
        <is>
          <t>HRA Hub complet</t>
        </is>
      </c>
      <c r="B54" s="11" t="inlineStr">
        <is>
          <t>P1</t>
        </is>
      </c>
      <c r="C54" s="8" t="n">
        <v>25</v>
      </c>
      <c r="D54" s="9" t="n"/>
      <c r="E54" s="10" t="inlineStr">
        <is>
          <t>Hub Hôtels-Restos-Activités, listing, SLA</t>
        </is>
      </c>
    </row>
    <row r="55">
      <c r="A55" s="6" t="inlineStr">
        <is>
          <t>Marketing Hub complet</t>
        </is>
      </c>
      <c r="B55" s="11" t="inlineStr">
        <is>
          <t>P1</t>
        </is>
      </c>
      <c r="C55" s="8" t="n">
        <v>30</v>
      </c>
      <c r="D55" s="9" t="n"/>
      <c r="E55" s="10" t="inlineStr">
        <is>
          <t>QR, shortlinks, leads, campagnes, analytics</t>
        </is>
      </c>
    </row>
    <row r="56">
      <c r="A56" s="6" t="inlineStr">
        <is>
          <t>Communication Hub</t>
        </is>
      </c>
      <c r="B56" s="11" t="inlineStr">
        <is>
          <t>P1</t>
        </is>
      </c>
      <c r="C56" s="8" t="n">
        <v>16</v>
      </c>
      <c r="D56" s="9" t="n"/>
      <c r="E56" s="10" t="inlineStr">
        <is>
          <t>Inbox, SLA, escalade, templates</t>
        </is>
      </c>
    </row>
    <row r="57">
      <c r="A57" s="6" t="inlineStr">
        <is>
          <t>Support complet</t>
        </is>
      </c>
      <c r="B57" s="11" t="inlineStr">
        <is>
          <t>P1</t>
        </is>
      </c>
      <c r="C57" s="8" t="n">
        <v>16</v>
      </c>
      <c r="D57" s="9" t="n"/>
      <c r="E57" s="10" t="inlineStr">
        <is>
          <t>Tickets, incidents, litiges</t>
        </is>
      </c>
    </row>
    <row r="58">
      <c r="A58" s="6" t="inlineStr">
        <is>
          <t>Feature Flags système</t>
        </is>
      </c>
      <c r="B58" s="11" t="inlineStr">
        <is>
          <t>P1</t>
        </is>
      </c>
      <c r="C58" s="8" t="n">
        <v>10</v>
      </c>
      <c r="D58" s="9" t="n"/>
      <c r="E58" s="10" t="inlineStr">
        <is>
          <t>Break-glass, 4-eyes, dry-run</t>
        </is>
      </c>
    </row>
    <row r="59">
      <c r="A59" s="6" t="inlineStr">
        <is>
          <t>Travel Groups complet</t>
        </is>
      </c>
      <c r="B59" s="11" t="inlineStr">
        <is>
          <t>P1</t>
        </is>
      </c>
      <c r="C59" s="8" t="n">
        <v>16</v>
      </c>
      <c r="D59" s="9" t="n"/>
      <c r="E59" s="10" t="inlineStr">
        <is>
          <t>Social entity, smart invite, groupe social</t>
        </is>
      </c>
    </row>
    <row r="60">
      <c r="A60" s="6" t="inlineStr">
        <is>
          <t>Fournisseurs gestion</t>
        </is>
      </c>
      <c r="B60" s="11" t="inlineStr">
        <is>
          <t>P1</t>
        </is>
      </c>
      <c r="C60" s="8" t="n">
        <v>12</v>
      </c>
      <c r="D60" s="9" t="n"/>
      <c r="E60" s="10" t="inlineStr">
        <is>
          <t>Contrats, devis, paiements fournisseurs</t>
        </is>
      </c>
    </row>
    <row r="61">
      <c r="A61" s="6" t="inlineStr">
        <is>
          <t>Assurance packs</t>
        </is>
      </c>
      <c r="B61" s="11" t="inlineStr">
        <is>
          <t>P1</t>
        </is>
      </c>
      <c r="C61" s="8" t="n">
        <v>12</v>
      </c>
      <c r="D61" s="9" t="n"/>
      <c r="E61" s="10" t="inlineStr">
        <is>
          <t>Packs, pricing, dossiers, admin assurance</t>
        </is>
      </c>
    </row>
    <row r="62">
      <c r="A62" s="6" t="inlineStr">
        <is>
          <t>Email automation + 14 templates</t>
        </is>
      </c>
      <c r="B62" s="11" t="inlineStr">
        <is>
          <t>P1</t>
        </is>
      </c>
      <c r="C62" s="8" t="n">
        <v>16</v>
      </c>
      <c r="D62" s="9" t="n"/>
      <c r="E62" s="10" t="inlineStr">
        <is>
          <t>Templates, prévisualisation, automation UI</t>
        </is>
      </c>
    </row>
    <row r="63">
      <c r="A63" s="13" t="inlineStr">
        <is>
          <t>↳ Sous-total features P1</t>
        </is>
      </c>
      <c r="B63" s="13" t="n"/>
      <c r="C63" s="14" t="n">
        <v>195</v>
      </c>
      <c r="D63" s="14" t="n">
        <v>598</v>
      </c>
      <c r="E63" s="13" t="n"/>
    </row>
    <row r="64" ht="26" customHeight="1">
      <c r="A64" s="4" t="inlineStr">
        <is>
          <t>⚙️ FEATURES P2</t>
        </is>
      </c>
      <c r="B64" s="5" t="n"/>
      <c r="C64" s="5" t="n"/>
      <c r="D64" s="5" t="n"/>
      <c r="E64" s="5" t="n"/>
    </row>
    <row r="65">
      <c r="A65" s="6" t="inlineStr">
        <is>
          <t>Hotel Portal + Onboarding</t>
        </is>
      </c>
      <c r="B65" s="12" t="inlineStr">
        <is>
          <t>P2</t>
        </is>
      </c>
      <c r="C65" s="8" t="n">
        <v>16</v>
      </c>
      <c r="D65" s="9" t="n"/>
      <c r="E65" s="10" t="inlineStr">
        <is>
          <t>Portail hôtel, wizard onboarding</t>
        </is>
      </c>
    </row>
    <row r="66">
      <c r="A66" s="6" t="inlineStr">
        <is>
          <t>Video Studio IA</t>
        </is>
      </c>
      <c r="B66" s="12" t="inlineStr">
        <is>
          <t>P2</t>
        </is>
      </c>
      <c r="C66" s="8" t="n">
        <v>20</v>
      </c>
      <c r="D66" s="9" t="n"/>
      <c r="E66" s="10" t="inlineStr">
        <is>
          <t>Studio vidéo IA, preview, upload</t>
        </is>
      </c>
    </row>
    <row r="67">
      <c r="A67" s="6" t="inlineStr">
        <is>
          <t>Supplies Shop + Print</t>
        </is>
      </c>
      <c r="B67" s="12" t="inlineStr">
        <is>
          <t>P2</t>
        </is>
      </c>
      <c r="C67" s="8" t="n">
        <v>12</v>
      </c>
      <c r="D67" s="9" t="n"/>
      <c r="E67" s="10" t="inlineStr">
        <is>
          <t>Boutique fournitures, commandes impression</t>
        </is>
      </c>
    </row>
    <row r="68">
      <c r="A68" s="6" t="inlineStr">
        <is>
          <t>Runbook terrain + Incidents</t>
        </is>
      </c>
      <c r="B68" s="12" t="inlineStr">
        <is>
          <t>P2</t>
        </is>
      </c>
      <c r="C68" s="8" t="n">
        <v>8</v>
      </c>
      <c r="D68" s="9" t="n"/>
      <c r="E68" s="10" t="inlineStr">
        <is>
          <t>Runbook J0, incidents terrain, checklist</t>
        </is>
      </c>
    </row>
    <row r="69">
      <c r="A69" s="6" t="inlineStr">
        <is>
          <t>SEO/Viral + UGC</t>
        </is>
      </c>
      <c r="B69" s="12" t="inlineStr">
        <is>
          <t>P2</t>
        </is>
      </c>
      <c r="C69" s="8" t="n">
        <v>10</v>
      </c>
      <c r="D69" s="9" t="n"/>
      <c r="E69" s="10" t="inlineStr">
        <is>
          <t>SEO slugs, viral share, contenu utilisateur</t>
        </is>
      </c>
    </row>
    <row r="70">
      <c r="A70" s="13" t="inlineStr">
        <is>
          <t>↳ Sous-total features P2</t>
        </is>
      </c>
      <c r="B70" s="13" t="n"/>
      <c r="C70" s="14" t="n">
        <v>66</v>
      </c>
      <c r="D70" s="14" t="n">
        <v>664</v>
      </c>
      <c r="E70" s="13" t="n"/>
    </row>
    <row r="71" ht="26" customHeight="1">
      <c r="A71" s="4" t="inlineStr">
        <is>
          <t>🔧 QA, TESTS &amp; POLISH</t>
        </is>
      </c>
      <c r="B71" s="5" t="n"/>
      <c r="C71" s="5" t="n"/>
      <c r="D71" s="5" t="n"/>
      <c r="E71" s="5" t="n"/>
    </row>
    <row r="72">
      <c r="A72" s="6" t="inlineStr">
        <is>
          <t>QA Patches frontend (~300 sur 500)</t>
        </is>
      </c>
      <c r="B72" s="11" t="inlineStr">
        <is>
          <t>P0-P1</t>
        </is>
      </c>
      <c r="C72" s="8" t="n">
        <v>200</v>
      </c>
      <c r="D72" s="9" t="n"/>
      <c r="E72" s="10" t="inlineStr">
        <is>
          <t>Corrections UI/UX, edge cases, responsive</t>
        </is>
      </c>
    </row>
    <row r="73">
      <c r="A73" s="6" t="inlineStr">
        <is>
          <t>Tests E2E Playwright (135+ pages)</t>
        </is>
      </c>
      <c r="B73" s="11" t="inlineStr">
        <is>
          <t>P1</t>
        </is>
      </c>
      <c r="C73" s="8" t="n">
        <v>180</v>
      </c>
      <c r="D73" s="9" t="n"/>
      <c r="E73" s="10" t="inlineStr">
        <is>
          <t>~1.3h/page pour tests E2E complets</t>
        </is>
      </c>
    </row>
    <row r="74">
      <c r="A74" s="6" t="inlineStr">
        <is>
          <t>Intégration Stripe webhooks UI</t>
        </is>
      </c>
      <c r="B74" s="7" t="inlineStr">
        <is>
          <t>P0</t>
        </is>
      </c>
      <c r="C74" s="8" t="n">
        <v>12</v>
      </c>
      <c r="D74" s="9" t="n"/>
      <c r="E74" s="10" t="inlineStr">
        <is>
          <t>UI feedback paiements, erreurs, retry</t>
        </is>
      </c>
    </row>
    <row r="75">
      <c r="A75" s="6" t="inlineStr">
        <is>
          <t>Mobile responsive polish</t>
        </is>
      </c>
      <c r="B75" s="11" t="inlineStr">
        <is>
          <t>P1</t>
        </is>
      </c>
      <c r="C75" s="8" t="n">
        <v>40</v>
      </c>
      <c r="D75" s="9" t="n"/>
      <c r="E75" s="10" t="inlineStr">
        <is>
          <t>Touch 44px, mobile-first, toutes pages</t>
        </is>
      </c>
    </row>
    <row r="76">
      <c r="A76" s="6" t="inlineStr">
        <is>
          <t>États UI (Loading/Empty/Error/Data)</t>
        </is>
      </c>
      <c r="B76" s="7" t="inlineStr">
        <is>
          <t>P0</t>
        </is>
      </c>
      <c r="C76" s="8" t="n">
        <v>30</v>
      </c>
      <c r="D76" s="9" t="n"/>
      <c r="E76" s="10" t="inlineStr">
        <is>
          <t>4 états × ~155 pages, skeletons, toasts FR</t>
        </is>
      </c>
    </row>
    <row r="77">
      <c r="A77" s="6" t="inlineStr">
        <is>
          <t>Accessibilité + i18n FR</t>
        </is>
      </c>
      <c r="B77" s="11" t="inlineStr">
        <is>
          <t>P1</t>
        </is>
      </c>
      <c r="C77" s="8" t="n">
        <v>20</v>
      </c>
      <c r="D77" s="9" t="n"/>
      <c r="E77" s="10" t="inlineStr">
        <is>
          <t>ARIA, labels FR, lecteur écran</t>
        </is>
      </c>
    </row>
    <row r="78">
      <c r="A78" s="13" t="inlineStr">
        <is>
          <t>↳ Sous-total QA/Tests/Polish</t>
        </is>
      </c>
      <c r="B78" s="13" t="n"/>
      <c r="C78" s="14" t="n">
        <v>482</v>
      </c>
      <c r="D78" s="14" t="n">
        <v>1146</v>
      </c>
      <c r="E78" s="13" t="n"/>
    </row>
    <row r="80">
      <c r="A80" s="15" t="inlineStr">
        <is>
          <t>🏁 TOTAL ESTIMATION FRONTEND</t>
        </is>
      </c>
      <c r="B80" s="16" t="n"/>
      <c r="C80" s="17" t="n">
        <v>1146</v>
      </c>
      <c r="D80" s="16" t="n"/>
      <c r="E80" s="16" t="n"/>
    </row>
    <row r="82">
      <c r="A82" s="18" t="inlineStr">
        <is>
          <t>📊 CONVERSIONS</t>
        </is>
      </c>
    </row>
    <row r="83">
      <c r="A83" s="19">
        <f> 1146 heures de codage Claude IA continu</f>
        <v/>
      </c>
      <c r="E83" s="20" t="inlineStr"/>
    </row>
    <row r="84">
      <c r="A84" s="19">
        <f> ~47 jours de codage 24h/24 sans pause</f>
        <v/>
      </c>
      <c r="E84" s="20" t="inlineStr"/>
    </row>
    <row r="85">
      <c r="A85" s="19">
        <f> ~143 jours ouvrés (8h/jour)</f>
        <v/>
      </c>
      <c r="E85" s="20" t="inlineStr">
        <is>
          <t>Pour un dev humain senior</t>
        </is>
      </c>
    </row>
    <row r="86">
      <c r="A86" s="19">
        <f> ~6 mois full-time (1 dev)</f>
        <v/>
      </c>
      <c r="E86" s="20" t="inlineStr">
        <is>
          <t>22 jours/mois</t>
        </is>
      </c>
    </row>
    <row r="87">
      <c r="A87" s="19">
        <f> ~3 mois (équipe 2 devs)</f>
        <v/>
      </c>
      <c r="E87" s="20" t="inlineStr">
        <is>
          <t>Parallélisation ~70%</t>
        </is>
      </c>
    </row>
    <row r="89">
      <c r="A89" s="18" t="inlineStr">
        <is>
          <t>📋 RÉPARTITION PAR PRIORITÉ</t>
        </is>
      </c>
    </row>
    <row r="90">
      <c r="A90" s="21" t="inlineStr">
        <is>
          <t>P0 — Critique (lancement)</t>
        </is>
      </c>
      <c r="C90" s="22" t="n">
        <v>335</v>
      </c>
      <c r="D90" s="23" t="inlineStr">
        <is>
          <t>29%</t>
        </is>
      </c>
    </row>
    <row r="91">
      <c r="A91" s="24" t="inlineStr">
        <is>
          <t>P1 — Important (post-lancement)</t>
        </is>
      </c>
      <c r="C91" s="22" t="n">
        <v>711</v>
      </c>
      <c r="D91" s="23" t="inlineStr">
        <is>
          <t>62%</t>
        </is>
      </c>
    </row>
    <row r="92">
      <c r="A92" s="25" t="inlineStr">
        <is>
          <t>P2 — Nice-to-have</t>
        </is>
      </c>
      <c r="C92" s="22" t="n">
        <v>85</v>
      </c>
      <c r="D92" s="23" t="inlineStr">
        <is>
          <t>7%</t>
        </is>
      </c>
    </row>
  </sheetData>
  <mergeCells count="8">
    <mergeCell ref="A2:E2"/>
    <mergeCell ref="A64:E64"/>
    <mergeCell ref="A71:E71"/>
    <mergeCell ref="A49:E49"/>
    <mergeCell ref="A1:E1"/>
    <mergeCell ref="A32:E32"/>
    <mergeCell ref="A80:B80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2026-03-18T19:33:04Z</dcterms:created>
  <dcterms:modified xmlns:dcterms="http://purl.org/dc/terms/" xmlns:xsi="http://www.w3.org/2001/XMLSchema-instance" xsi:type="dcterms:W3CDTF">2026-03-18T19:33:04Z</dcterms:modified>
</cp:coreProperties>
</file>